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D84CF7C9E443E7A0834D572A1A32F9" descr="IMG_9145"/>
        <xdr:cNvPicPr/>
      </xdr:nvPicPr>
      <xdr:blipFill>
        <a:blip r:embed="rId1"/>
        <a:stretch>
          <a:fillRect/>
        </a:stretch>
      </xdr:blipFill>
      <xdr:spPr>
        <a:xfrm>
          <a:off x="0" y="0"/>
          <a:ext cx="7540625" cy="10058400"/>
        </a:xfrm>
        <a:prstGeom prst="rect">
          <a:avLst/>
        </a:prstGeom>
      </xdr:spPr>
    </xdr:pic>
  </etc:cellImage>
  <etc:cellImage>
    <xdr:pic>
      <xdr:nvPicPr>
        <xdr:cNvPr id="4" name="ID_786278FA33F34ED8BAC59963742CDCB1" descr="IMG_9144"/>
        <xdr:cNvPicPr/>
      </xdr:nvPicPr>
      <xdr:blipFill>
        <a:blip r:embed="rId2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</etc:cellImage>
  <etc:cellImage>
    <xdr:pic>
      <xdr:nvPicPr>
        <xdr:cNvPr id="5" name="ID_DFCC44655D2E4616A4BFE03F37B95D32" descr="IMG_9149"/>
        <xdr:cNvPicPr/>
      </xdr:nvPicPr>
      <xdr:blipFill>
        <a:blip r:embed="rId3"/>
        <a:stretch>
          <a:fillRect/>
        </a:stretch>
      </xdr:blipFill>
      <xdr:spPr>
        <a:xfrm>
          <a:off x="0" y="0"/>
          <a:ext cx="7541895" cy="10058400"/>
        </a:xfrm>
        <a:prstGeom prst="rect">
          <a:avLst/>
        </a:prstGeom>
      </xdr:spPr>
    </xdr:pic>
  </etc:cellImage>
  <etc:cellImage>
    <xdr:pic>
      <xdr:nvPicPr>
        <xdr:cNvPr id="6" name="ID_B9104FD4B10E40ED88AD56FC0C03C597" descr="IMG_9150"/>
        <xdr:cNvPicPr/>
      </xdr:nvPicPr>
      <xdr:blipFill>
        <a:blip r:embed="rId4"/>
        <a:stretch>
          <a:fillRect/>
        </a:stretch>
      </xdr:blipFill>
      <xdr:spPr>
        <a:xfrm>
          <a:off x="0" y="0"/>
          <a:ext cx="7545070" cy="10058400"/>
        </a:xfrm>
        <a:prstGeom prst="rect">
          <a:avLst/>
        </a:prstGeom>
      </xdr:spPr>
    </xdr:pic>
  </etc:cellImage>
  <etc:cellImage>
    <xdr:pic>
      <xdr:nvPicPr>
        <xdr:cNvPr id="7" name="ID_BCD95F9C47DD4CB4A099BE41EA31E8EE" descr="IMG_9148"/>
        <xdr:cNvPicPr/>
      </xdr:nvPicPr>
      <xdr:blipFill>
        <a:blip r:embed="rId5"/>
        <a:stretch>
          <a:fillRect/>
        </a:stretch>
      </xdr:blipFill>
      <xdr:spPr>
        <a:xfrm>
          <a:off x="0" y="0"/>
          <a:ext cx="754634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<sst xmlns="http://schemas.openxmlformats.org/spreadsheetml/2006/main" count="41" uniqueCount="29">
  <si>
    <t>序号</t>
  </si>
  <si>
    <t>品牌</t>
  </si>
  <si>
    <t>系列</t>
  </si>
  <si>
    <t>发售时间</t>
  </si>
  <si>
    <t>品名</t>
  </si>
  <si>
    <t>条码</t>
  </si>
  <si>
    <t>品图</t>
  </si>
  <si>
    <t>产品介绍</t>
  </si>
  <si>
    <t>参考价</t>
  </si>
  <si>
    <t>售价</t>
  </si>
  <si>
    <t>未拆袋</t>
  </si>
  <si>
    <t>已拆无暇</t>
  </si>
  <si>
    <t>微瑕</t>
  </si>
  <si>
    <t>总库存</t>
  </si>
  <si>
    <t>Hirono</t>
  </si>
  <si>
    <t>温室芒草</t>
  </si>
  <si>
    <t>2026-0402</t>
  </si>
  <si>
    <t>天注定</t>
  </si>
  <si>
    <t>6941448603060</t>
  </si>
  <si>
    <t>循环</t>
  </si>
  <si>
    <t>6941448649387</t>
  </si>
  <si>
    <t>过载</t>
  </si>
  <si>
    <t>6941448697461</t>
  </si>
  <si>
    <t>学生党、备考党、加班党集合！这只小野温室芒草系列——过载，完全就是我们的真实写照！公式帽子、满满课表、堆积的资料，把压力拉满的状态精准还原，细节满满，共情力直接拉满！今天在姐姐家下单，现货秒发、所见所得，无瑕疵发货、一单包邮到家，没有各种游戏套路，直接选款下单。线下你抽一个99，隔壁今天走45，今天姐姐家45不开！要的话直接扣价43！听清楚，新品过载，今天43！一单包邮！这个今天只有2只，优先扣价发未拆袋的。</t>
  </si>
  <si>
    <t>温水青蛙</t>
  </si>
  <si>
    <t>6941448682072</t>
  </si>
  <si>
    <t>重缚</t>
  </si>
  <si>
    <t>6941448658985</t>
  </si>
  <si>
    <t>小野温室芒草—重缚，懂小野的都知道这款有多厉害！
整个身体被打印纸绷带缠绕、被工作日常困住，麻木又无奈的氛围感拉满，细节做工很棒，是系列里的热门爆款！感觉打工人一眼被戳中了！
今天在姐姐家下单，现货秒发、所见所得，无瑕疵发货、一单包邮到家，没有各种游戏套路，直接选款下单。
线下你抽一个99，隔壁今天走60算优惠了，今天姐姐家信号开播，60都不开！直接给你炸波新品福，来吧，大家准备好，
这个今天只有3只，要的话，等我报价大家扣数字，我叫你们的名字再去拍。听清楚价格，重缚-今天开55！
拆袋有盒，卡片齐全，无暇正品一单包！收到以后任何问题随时回来找我！好吧。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</si>
</sst>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zoomScale="89" zoomScaleNormal="89" workbookViewId="0">
      <selection activeCell="H5" sqref="H5"/>
    </sheetView>
  </sheetViews>
  <sheetFormatPr defaultColWidth="9.23076923076923" defaultRowHeight="82" customHeight="1" outlineLevelRow="5"/>
  <cols>
    <col min="1" max="1" width="9.23076923076923" style="1"/>
    <col min="2" max="2" width="8" style="1" customWidth="1"/>
    <col min="3" max="3" width="10.3076923076923" style="1" customWidth="1"/>
    <col min="4" max="4" width="10.3846153846154" style="1" customWidth="1"/>
    <col min="5" max="5" width="10.3076923076923" style="1" customWidth="1"/>
    <col min="6" max="6" width="15.2307692307692" style="1" customWidth="1"/>
    <col min="7" max="7" width="21.6153846153846" style="1" customWidth="1"/>
    <col min="8" max="8" width="52.7596153846154" style="1" customWidth="1"/>
    <col min="9" max="10" width="11.6923076923077" style="2" customWidth="1"/>
    <col min="11" max="16384" width="9.23076923076923" style="1"/>
  </cols>
  <sheetData>
    <row r="1" ht="44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>
        <v>1</v>
      </c>
      <c r="B2" s="1" t="s">
        <v>14</v>
      </c>
      <c r="C2" s="1" t="s">
        <v>15</v>
      </c>
      <c r="D2" s="1" t="s">
        <v>16</v>
      </c>
      <c r="E2" s="3" t="s">
        <v>17</v>
      </c>
      <c r="F2" s="6" t="s">
        <v>18</v>
      </c>
      <c r="G2" s="1" t="str">
        <f>_xlfn.DISPIMG("ID_786278FA33F34ED8BAC59963742CDCB1",1)</f>
        <v>=DISPIMG("ID_786278FA33F34ED8BAC59963742CDCB1",1)</v>
      </c>
      <c r="I2" s="2">
        <v>42</v>
      </c>
      <c r="J2" s="4">
        <v>50</v>
      </c>
      <c r="K2" s="1">
        <v>1</v>
      </c>
      <c r="L2" s="1">
        <v>0</v>
      </c>
      <c r="M2" s="1">
        <v>0</v>
      </c>
      <c r="N2" s="1">
        <f>SUM(K2:M2)</f>
        <v>1</v>
      </c>
    </row>
    <row r="3" customHeight="1" spans="1:14">
      <c r="A3" s="1">
        <v>2</v>
      </c>
      <c r="B3" s="1" t="s">
        <v>14</v>
      </c>
      <c r="C3" s="1" t="s">
        <v>15</v>
      </c>
      <c r="D3" s="1" t="s">
        <v>16</v>
      </c>
      <c r="E3" s="3" t="s">
        <v>19</v>
      </c>
      <c r="F3" s="6" t="s">
        <v>20</v>
      </c>
      <c r="G3" s="1" t="str">
        <f>_xlfn.DISPIMG("ID_49D84CF7C9E443E7A0834D572A1A32F9",1)</f>
        <v>=DISPIMG("ID_49D84CF7C9E443E7A0834D572A1A32F9",1)</v>
      </c>
      <c r="H3" s="5"/>
      <c r="I3" s="2">
        <v>52</v>
      </c>
      <c r="J3" s="4">
        <v>56</v>
      </c>
      <c r="K3" s="1">
        <v>1</v>
      </c>
      <c r="L3" s="1">
        <v>0</v>
      </c>
      <c r="M3" s="1">
        <v>0</v>
      </c>
      <c r="N3" s="1">
        <f>SUM(K3:M3)</f>
        <v>1</v>
      </c>
    </row>
    <row r="4" customHeight="1" spans="1:14">
      <c r="A4" s="1">
        <v>3</v>
      </c>
      <c r="B4" s="1" t="s">
        <v>14</v>
      </c>
      <c r="C4" s="1" t="s">
        <v>15</v>
      </c>
      <c r="D4" s="1" t="s">
        <v>16</v>
      </c>
      <c r="E4" s="3" t="s">
        <v>21</v>
      </c>
      <c r="F4" s="6" t="s">
        <v>22</v>
      </c>
      <c r="G4" s="1" t="str">
        <f>_xlfn.DISPIMG("ID_DFCC44655D2E4616A4BFE03F37B95D32",1)</f>
        <v>=DISPIMG("ID_DFCC44655D2E4616A4BFE03F37B95D32",1)</v>
      </c>
      <c r="H4" s="5" t="s">
        <v>23</v>
      </c>
      <c r="I4" s="2">
        <v>36</v>
      </c>
      <c r="J4" s="4">
        <v>43</v>
      </c>
      <c r="K4" s="1">
        <v>1</v>
      </c>
      <c r="L4" s="1">
        <v>1</v>
      </c>
      <c r="M4" s="1">
        <v>0</v>
      </c>
      <c r="N4" s="1">
        <f>SUM(K4:M4)</f>
        <v>2</v>
      </c>
    </row>
    <row r="5" customHeight="1" spans="1:14">
      <c r="A5" s="1">
        <v>4</v>
      </c>
      <c r="B5" s="1" t="s">
        <v>14</v>
      </c>
      <c r="C5" s="1" t="s">
        <v>15</v>
      </c>
      <c r="D5" s="1" t="s">
        <v>16</v>
      </c>
      <c r="E5" s="3" t="s">
        <v>24</v>
      </c>
      <c r="F5" s="6" t="s">
        <v>25</v>
      </c>
      <c r="G5" s="1" t="str">
        <f>_xlfn.DISPIMG("ID_B9104FD4B10E40ED88AD56FC0C03C597",1)</f>
        <v>=DISPIMG("ID_B9104FD4B10E40ED88AD56FC0C03C597",1)</v>
      </c>
      <c r="I5" s="2">
        <v>60</v>
      </c>
      <c r="J5" s="4">
        <v>69</v>
      </c>
      <c r="K5" s="1">
        <v>3</v>
      </c>
      <c r="L5" s="1">
        <v>1</v>
      </c>
      <c r="M5" s="1">
        <v>0</v>
      </c>
      <c r="N5" s="1">
        <f>SUM(K5:M5)</f>
        <v>4</v>
      </c>
    </row>
    <row r="6" customHeight="1" spans="1:14">
      <c r="A6" s="1">
        <v>5</v>
      </c>
      <c r="B6" s="1" t="s">
        <v>14</v>
      </c>
      <c r="C6" s="1" t="s">
        <v>15</v>
      </c>
      <c r="D6" s="1" t="s">
        <v>16</v>
      </c>
      <c r="E6" s="3" t="s">
        <v>26</v>
      </c>
      <c r="F6" s="6" t="s">
        <v>27</v>
      </c>
      <c r="G6" s="1" t="str">
        <f>_xlfn.DISPIMG("ID_BCD95F9C47DD4CB4A099BE41EA31E8EE",1)</f>
        <v>=DISPIMG("ID_BCD95F9C47DD4CB4A099BE41EA31E8EE",1)</v>
      </c>
      <c r="H6" s="5" t="s">
        <v>28</v>
      </c>
      <c r="I6" s="2">
        <v>49</v>
      </c>
      <c r="J6" s="4">
        <v>55</v>
      </c>
      <c r="K6" s="1">
        <v>3</v>
      </c>
      <c r="L6" s="1">
        <v>0</v>
      </c>
      <c r="M6" s="1">
        <v>0</v>
      </c>
      <c r="N6" s="1">
        <f>SUM(K6:M6)</f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raoqingli</dc:creator>
  <cp:lastModifiedBy>n0vem</cp:lastModifiedBy>
  <dcterms:created xsi:type="dcterms:W3CDTF">2026-05-03T14:41:00Z</dcterms:created>
  <dcterms:modified xsi:type="dcterms:W3CDTF">2026-05-02T23:52:56Z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7B0D7E8F66C445CB221DF6699B17438E_43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